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BALA GANESH\AnalystTasksofBalaGanesh\submissions\"/>
    </mc:Choice>
  </mc:AlternateContent>
  <xr:revisionPtr revIDLastSave="0" documentId="13_ncr:1_{E8CC8189-7942-4EC5-98AD-B78C4120FB14}" xr6:coauthVersionLast="47" xr6:coauthVersionMax="47" xr10:uidLastSave="{00000000-0000-0000-0000-000000000000}"/>
  <bookViews>
    <workbookView xWindow="-108" yWindow="-108" windowWidth="23256" windowHeight="12456" tabRatio="849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2" i="19" l="1" a="1"/>
  <c r="C22" i="19" s="1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6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7" i="18"/>
  <c r="C8" i="18"/>
  <c r="C9" i="18"/>
  <c r="C6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E30" i="18" l="1"/>
  <c r="F30" i="18"/>
  <c r="D29" i="18"/>
  <c r="B29" i="18"/>
  <c r="C29" i="18"/>
  <c r="B28" i="18"/>
  <c r="E29" i="18"/>
  <c r="F29" i="18"/>
  <c r="C28" i="18"/>
  <c r="D28" i="18"/>
  <c r="B30" i="18"/>
  <c r="E28" i="18"/>
  <c r="C30" i="18"/>
  <c r="F28" i="18"/>
  <c r="D30" i="18"/>
</calcChain>
</file>

<file path=xl/sharedStrings.xml><?xml version="1.0" encoding="utf-8"?>
<sst xmlns="http://schemas.openxmlformats.org/spreadsheetml/2006/main" count="409" uniqueCount="186">
  <si>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</si>
  <si>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</si>
  <si>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</si>
  <si>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</si>
  <si>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</si>
  <si>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</si>
  <si>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</si>
  <si>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</si>
  <si>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</si>
  <si>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</si>
  <si>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</si>
  <si>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</si>
  <si>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</si>
  <si>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</si>
  <si>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</si>
  <si>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</si>
  <si>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</si>
  <si>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</si>
  <si>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</si>
  <si>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</si>
  <si>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</si>
  <si>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</si>
  <si>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</si>
  <si>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</si>
  <si>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</si>
  <si>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</si>
  <si>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</si>
  <si>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</si>
  <si>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</si>
  <si>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</si>
  <si>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</si>
  <si>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</si>
  <si>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</si>
  <si>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</si>
  <si>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</si>
  <si>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</si>
  <si>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</si>
  <si>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</si>
  <si>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</si>
  <si>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</si>
  <si>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</si>
  <si>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</si>
  <si>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</si>
  <si>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</si>
  <si>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</si>
  <si>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</si>
  <si>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</si>
  <si>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</si>
  <si>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</si>
  <si>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</si>
  <si>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</si>
  <si>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</si>
  <si>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</si>
  <si>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</si>
  <si>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</si>
  <si>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</si>
  <si>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</si>
  <si>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</si>
  <si>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</si>
  <si>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</si>
  <si>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</si>
  <si>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</si>
  <si>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</si>
  <si>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</si>
  <si>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</si>
  <si>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</si>
  <si>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</si>
  <si>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</si>
  <si>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</si>
  <si>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</si>
  <si>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</si>
  <si>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</si>
  <si>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</si>
  <si>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</si>
  <si>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</si>
  <si>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</si>
  <si>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</si>
  <si>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</si>
  <si>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</si>
  <si>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</si>
  <si>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</si>
  <si>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</si>
  <si>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</si>
  <si>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</si>
  <si>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</si>
  <si>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</si>
  <si>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</si>
  <si>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</si>
  <si>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</si>
  <si>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</si>
  <si>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</si>
  <si>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</si>
  <si>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</si>
  <si>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</si>
  <si>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</si>
  <si>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</si>
  <si>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</si>
  <si>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</si>
  <si>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</si>
  <si>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</si>
  <si>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</si>
  <si>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</si>
  <si>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</si>
  <si>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</si>
  <si>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</si>
  <si>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</si>
  <si>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</si>
  <si>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</si>
  <si>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</si>
  <si>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</si>
  <si>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</si>
  <si>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</si>
  <si>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</si>
  <si>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</si>
  <si>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</si>
  <si>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</si>
  <si>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</si>
  <si>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</si>
  <si>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</si>
  <si>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</si>
  <si>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</si>
  <si>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</si>
  <si>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</si>
  <si>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</si>
  <si>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</si>
  <si>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</si>
  <si>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</si>
  <si>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</si>
  <si>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</si>
  <si>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</si>
  <si>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</si>
  <si>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</si>
  <si>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</si>
  <si>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</si>
  <si>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</si>
  <si>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</si>
  <si>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</si>
  <si>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</si>
  <si>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</si>
  <si>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</si>
  <si>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</si>
  <si>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</si>
  <si>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</si>
  <si>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</si>
  <si>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</si>
  <si>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</si>
  <si>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</si>
  <si>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</si>
  <si>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</si>
  <si>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</si>
  <si>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</si>
  <si>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</si>
  <si>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</si>
  <si>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</si>
  <si>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</si>
  <si>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</si>
  <si>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</si>
  <si>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</si>
  <si>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</si>
  <si>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</si>
  <si>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</si>
  <si>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</si>
  <si>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</si>
  <si>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</si>
  <si>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</si>
  <si>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</si>
  <si>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</si>
  <si>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</si>
  <si>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</si>
  <si>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</si>
  <si>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</si>
  <si>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</si>
  <si>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</si>
  <si>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</si>
  <si>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</si>
  <si>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</si>
  <si>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</si>
  <si>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"=SUMIF(H2:H40,"&gt;20")"</t>
  </si>
  <si>
    <t>"=LEFT(A16, FIND("-", A16) - 1)"</t>
  </si>
  <si>
    <t xml:space="preserve"> "=MID(A16, FIND("-", A16) + 1, FIND("-", MID(A16, FIND("-", A16) + 1, LEN(A16))) - 1)"</t>
  </si>
  <si>
    <t>Take the characters on the left side of the text in cell A16 until the first hyphen ("-"). It finds the position of the first hyphen using the FIND function and extracts the characters to the left of it using the LEFT function.</t>
  </si>
  <si>
    <t>Extract the characters in the middle of the text in cell A2, specifically between the first and second hyphens ("-"). It uses the MID function to start from the position after the first hyphen and go until the character just before the second hyphen.</t>
  </si>
  <si>
    <t>"=SUM(IFERROR(C12:C21, 20))"   and entered CTRL+SHIFT+ENTER</t>
  </si>
  <si>
    <t>"=VLOOKUP(A2 &amp; B2, Table_A!$A$1:$I$10, MATCH(B2, Table_B!$B$1:$B$10, 0) + 1, FALSE)"</t>
  </si>
  <si>
    <t>The VLOOKUP function scans the concatenated key in Table_C, effectively finding matches in Table_A and retrieving the associated distance values using the location names derived from Table_B. This process populates the 'value' column in Table_C.</t>
  </si>
  <si>
    <t>this formula sums the values in the range C12:C21, treating any errors in those cells as if they were the value '20'.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</si>
</sst>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22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8"/>
      <color rgb="FF111827"/>
      <name val="Courier New"/>
      <family val="3"/>
    </font>
    <font>
      <sz val="11"/>
      <color rgb="FF111827"/>
      <name val="Calibri"/>
      <family val="2"/>
      <scheme val="minor"/>
    </font>
    <font>
      <sz val="10"/>
      <color rgb="FF374151"/>
      <name val="Segoe UI"/>
      <family val="2"/>
    </font>
    <font>
      <sz val="14"/>
      <color rgb="FF374151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4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0" fontId="14" fillId="0" borderId="0" xfId="0" quotePrefix="1" applyFont="1"/>
    <xf numFmtId="166" fontId="3" fillId="0" borderId="0" xfId="0" applyNumberFormat="1" applyFont="1"/>
    <xf numFmtId="0" fontId="18" fillId="0" borderId="0" xfId="0" applyFont="1"/>
    <xf numFmtId="0" fontId="19" fillId="0" borderId="0" xfId="0" applyFont="1"/>
    <xf numFmtId="0" fontId="15" fillId="0" borderId="0" xfId="0" applyFont="1" applyAlignment="1">
      <alignment wrapText="1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wrapText="1"/>
    </xf>
    <xf numFmtId="0" fontId="20" fillId="0" borderId="0" xfId="0" applyFont="1" applyAlignment="1">
      <alignment horizontal="center"/>
    </xf>
    <xf numFmtId="0" fontId="21" fillId="0" borderId="0" xfId="0" applyFont="1" applyAlignment="1">
      <alignment horizontal="center" wrapText="1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5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A19" sqref="A19"/>
    </sheetView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5" t="s">
        <v>171</v>
      </c>
      <c r="B9" s="26" t="s">
        <v>169</v>
      </c>
    </row>
    <row r="10" spans="1:3" x14ac:dyDescent="0.3">
      <c r="A10" s="34" t="s">
        <v>172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abSelected="1" zoomScaleNormal="100" workbookViewId="0">
      <pane ySplit="1" topLeftCell="A2" activePane="bottomLeft" state="frozen"/>
      <selection pane="bottomLeft" activeCell="D22" sqref="D22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</sheetData>
  <conditionalFormatting sqref="A1:A1048576">
    <cfRule type="duplicateValues" dxfId="2" priority="3"/>
  </conditionalFormatting>
  <conditionalFormatting sqref="B1:B1048576">
    <cfRule type="duplicateValues" dxfId="1" priority="2"/>
  </conditionalFormatting>
  <conditionalFormatting sqref="J1:L1048576">
    <cfRule type="cellIs" dxfId="0" priority="1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6" sqref="C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45" t="s">
        <v>177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="78" zoomScaleNormal="100" workbookViewId="0">
      <selection activeCell="H22" sqref="H22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0" customFormat="1" ht="21" x14ac:dyDescent="0.4">
      <c r="A1" s="41" t="s">
        <v>55</v>
      </c>
      <c r="B1" s="40" t="s">
        <v>164</v>
      </c>
    </row>
    <row r="2" spans="1:7" s="40" customFormat="1" ht="21" x14ac:dyDescent="0.4">
      <c r="B2" s="40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162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>
        <f>IFERROR(VLOOKUP($A6, Dataset!$A:$X, 7, FALSE), "")</f>
        <v>2.7</v>
      </c>
      <c r="C6" s="12">
        <f>IFERROR(VLOOKUP($A6, Dataset!$A:$X, 13, FALSE), "")</f>
        <v>5.3</v>
      </c>
      <c r="D6" s="12">
        <f>IFERROR(VLOOKUP($A6, Dataset!$A:$X, 17, FALSE), "")</f>
        <v>3.6</v>
      </c>
      <c r="E6" s="12">
        <f>IFERROR(VLOOKUP($A6, Dataset!$A:$X, 20, FALSE), "")</f>
        <v>8.9</v>
      </c>
      <c r="F6" s="8">
        <f>IFERROR(VLOOKUP($A6, Dataset!$A:$X, 22, FALSE), "")</f>
        <v>4.2</v>
      </c>
    </row>
    <row r="7" spans="1:7" ht="14.4" x14ac:dyDescent="0.3">
      <c r="A7" s="7" t="s">
        <v>4</v>
      </c>
      <c r="B7" s="12">
        <f>IFERROR(VLOOKUP($A7, Dataset!$A:$X, 7, FALSE), "")</f>
        <v>2.7</v>
      </c>
      <c r="C7" s="12">
        <f>IFERROR(VLOOKUP($A7, Dataset!$A:$X, 13, FALSE), "")</f>
        <v>5.3</v>
      </c>
      <c r="D7" s="12">
        <f>IFERROR(VLOOKUP($A7, Dataset!$A:$X, 17, FALSE), "")</f>
        <v>3.6</v>
      </c>
      <c r="E7" s="12">
        <f>IFERROR(VLOOKUP($A7, Dataset!$A:$X, 20, FALSE), "")</f>
        <v>8.9</v>
      </c>
      <c r="F7" s="8">
        <f>IFERROR(VLOOKUP($A7, Dataset!$A:$X, 22, FALSE), "")</f>
        <v>4.2</v>
      </c>
    </row>
    <row r="8" spans="1:7" ht="14.4" x14ac:dyDescent="0.3">
      <c r="A8" s="7" t="s">
        <v>7</v>
      </c>
      <c r="B8" s="12">
        <f>IFERROR(VLOOKUP($A8, Dataset!$A:$X, 7, FALSE), "")</f>
        <v>3.6</v>
      </c>
      <c r="C8" s="12">
        <f>IFERROR(VLOOKUP($A8, Dataset!$A:$X, 13, FALSE), "")</f>
        <v>7.6</v>
      </c>
      <c r="D8" s="12">
        <f>IFERROR(VLOOKUP($A8, Dataset!$A:$X, 17, FALSE), "")</f>
        <v>5.4</v>
      </c>
      <c r="E8" s="12">
        <f>IFERROR(VLOOKUP($A8, Dataset!$A:$X, 20, FALSE), "")</f>
        <v>12.2</v>
      </c>
      <c r="F8" s="8">
        <f>IFERROR(VLOOKUP($A8, Dataset!$A:$X, 22, FALSE), "")</f>
        <v>5.8</v>
      </c>
    </row>
    <row r="9" spans="1:7" ht="14.4" x14ac:dyDescent="0.3">
      <c r="A9" s="7" t="s">
        <v>8</v>
      </c>
      <c r="B9" s="12">
        <f>IFERROR(VLOOKUP($A9, Dataset!$A:$X, 7, FALSE), "")</f>
        <v>4.9000000000000004</v>
      </c>
      <c r="C9" s="12">
        <f>IFERROR(VLOOKUP($A9, Dataset!$A:$X, 13, FALSE), "")</f>
        <v>10</v>
      </c>
      <c r="D9" s="12">
        <f>IFERROR(VLOOKUP($A9, Dataset!$A:$X, 17, FALSE), "")</f>
        <v>6.6</v>
      </c>
      <c r="E9" s="12">
        <f>IFERROR(VLOOKUP($A9, Dataset!$A:$X, 20, FALSE), "")</f>
        <v>17</v>
      </c>
      <c r="F9" s="8">
        <f>IFERROR(VLOOKUP($A9, Dataset!$A:$X, 22, FALSE), "")</f>
        <v>8.1</v>
      </c>
    </row>
    <row r="10" spans="1:7" ht="14.4" x14ac:dyDescent="0.3">
      <c r="A10" s="7" t="s">
        <v>11</v>
      </c>
      <c r="B10" s="12">
        <f>IFERROR(VLOOKUP($A10, Dataset!$A:$X, 7, FALSE), "")</f>
        <v>9.4</v>
      </c>
      <c r="C10" s="12">
        <f>IFERROR(VLOOKUP($A10, Dataset!$A:$X, 13, FALSE), "")</f>
        <v>19.2</v>
      </c>
      <c r="D10" s="12">
        <f>IFERROR(VLOOKUP($A10, Dataset!$A:$X, 17, FALSE), "")</f>
        <v>13.8</v>
      </c>
      <c r="E10" s="12">
        <f>IFERROR(VLOOKUP($A10, Dataset!$A:$X, 20, FALSE), "")</f>
        <v>32.799999999999997</v>
      </c>
      <c r="F10" s="8">
        <f>IFERROR(VLOOKUP($A10, Dataset!$A:$X, 22, FALSE), "")</f>
        <v>16.100000000000001</v>
      </c>
    </row>
    <row r="11" spans="1:7" ht="14.4" x14ac:dyDescent="0.3">
      <c r="A11" s="7" t="s">
        <v>12</v>
      </c>
      <c r="B11" s="12">
        <f>IFERROR(VLOOKUP($A11, Dataset!$A:$X, 7, FALSE), "")</f>
        <v>11.6</v>
      </c>
      <c r="C11" s="12">
        <f>IFERROR(VLOOKUP($A11, Dataset!$A:$X, 13, FALSE), "")</f>
        <v>23.6</v>
      </c>
      <c r="D11" s="12">
        <f>IFERROR(VLOOKUP($A11, Dataset!$A:$X, 17, FALSE), "")</f>
        <v>17.3</v>
      </c>
      <c r="E11" s="12">
        <f>IFERROR(VLOOKUP($A11, Dataset!$A:$X, 20, FALSE), "")</f>
        <v>43</v>
      </c>
      <c r="F11" s="8">
        <f>IFERROR(VLOOKUP($A11, Dataset!$A:$X, 22, FALSE), "")</f>
        <v>21.3</v>
      </c>
    </row>
    <row r="12" spans="1:7" ht="14.4" x14ac:dyDescent="0.3">
      <c r="A12" s="7" t="s">
        <v>14</v>
      </c>
      <c r="B12" s="12">
        <f>IFERROR(VLOOKUP($A12, Dataset!$A:$X, 7, FALSE), "")</f>
        <v>18.399999999999999</v>
      </c>
      <c r="C12" s="12">
        <f>IFERROR(VLOOKUP($A12, Dataset!$A:$X, 13, FALSE), "")</f>
        <v>37.200000000000003</v>
      </c>
      <c r="D12" s="12">
        <f>IFERROR(VLOOKUP($A12, Dataset!$A:$X, 17, FALSE), "")</f>
        <v>27.5</v>
      </c>
      <c r="E12" s="12">
        <f>IFERROR(VLOOKUP($A12, Dataset!$A:$X, 20, FALSE), "")</f>
        <v>67.900000000000006</v>
      </c>
      <c r="F12" s="8">
        <f>IFERROR(VLOOKUP($A12, Dataset!$A:$X, 22, FALSE), "")</f>
        <v>33.799999999999997</v>
      </c>
    </row>
    <row r="13" spans="1:7" ht="14.4" x14ac:dyDescent="0.3">
      <c r="A13" s="7" t="s">
        <v>15</v>
      </c>
      <c r="B13" s="12">
        <f>IFERROR(VLOOKUP($A13, Dataset!$A:$X, 7, FALSE), "")</f>
        <v>0</v>
      </c>
      <c r="C13" s="12">
        <f>IFERROR(VLOOKUP($A13, Dataset!$A:$X, 13, FALSE), "")</f>
        <v>0</v>
      </c>
      <c r="D13" s="12">
        <f>IFERROR(VLOOKUP($A13, Dataset!$A:$X, 17, FALSE), "")</f>
        <v>0</v>
      </c>
      <c r="E13" s="12">
        <f>IFERROR(VLOOKUP($A13, Dataset!$A:$X, 20, FALSE), "")</f>
        <v>0</v>
      </c>
      <c r="F13" s="8">
        <f>IFERROR(VLOOKUP($A13, Dataset!$A:$X, 22, FALSE), "")</f>
        <v>0</v>
      </c>
    </row>
    <row r="14" spans="1:7" ht="14.4" x14ac:dyDescent="0.3">
      <c r="A14" s="7" t="s">
        <v>16</v>
      </c>
      <c r="B14" s="12">
        <f>IFERROR(VLOOKUP($A14, Dataset!$A:$X, 7, FALSE), "")</f>
        <v>21.9</v>
      </c>
      <c r="C14" s="12">
        <f>IFERROR(VLOOKUP($A14, Dataset!$A:$X, 13, FALSE), "")</f>
        <v>42.3</v>
      </c>
      <c r="D14" s="12">
        <f>IFERROR(VLOOKUP($A14, Dataset!$A:$X, 17, FALSE), "")</f>
        <v>32.1</v>
      </c>
      <c r="E14" s="12">
        <f>IFERROR(VLOOKUP($A14, Dataset!$A:$X, 20, FALSE), "")</f>
        <v>76.599999999999994</v>
      </c>
      <c r="F14" s="8">
        <f>IFERROR(VLOOKUP($A14, Dataset!$A:$X, 22, FALSE), "")</f>
        <v>40.1</v>
      </c>
    </row>
    <row r="15" spans="1:7" ht="14.4" x14ac:dyDescent="0.3">
      <c r="A15" s="7" t="s">
        <v>18</v>
      </c>
      <c r="B15" s="12">
        <f>IFERROR(VLOOKUP($A15, Dataset!$A:$X, 7, FALSE), "")</f>
        <v>26.8</v>
      </c>
      <c r="C15" s="12">
        <f>IFERROR(VLOOKUP($A15, Dataset!$A:$X, 13, FALSE), "")</f>
        <v>54.6</v>
      </c>
      <c r="D15" s="12">
        <f>IFERROR(VLOOKUP($A15, Dataset!$A:$X, 17, FALSE), "")</f>
        <v>39.299999999999997</v>
      </c>
      <c r="E15" s="12">
        <f>IFERROR(VLOOKUP($A15, Dataset!$A:$X, 20, FALSE), "")</f>
        <v>96.8</v>
      </c>
      <c r="F15" s="8">
        <f>IFERROR(VLOOKUP($A15, Dataset!$A:$X, 22, FALSE), "")</f>
        <v>47.9</v>
      </c>
    </row>
    <row r="16" spans="1:7" ht="14.4" x14ac:dyDescent="0.3">
      <c r="A16" s="7" t="s">
        <v>20</v>
      </c>
      <c r="B16" s="12">
        <f>IFERROR(VLOOKUP($A16, Dataset!$A:$X, 7, FALSE), "")</f>
        <v>28.5</v>
      </c>
      <c r="C16" s="12">
        <f>IFERROR(VLOOKUP($A16, Dataset!$A:$X, 13, FALSE), "")</f>
        <v>58.3</v>
      </c>
      <c r="D16" s="12">
        <f>IFERROR(VLOOKUP($A16, Dataset!$A:$X, 17, FALSE), "")</f>
        <v>42.3</v>
      </c>
      <c r="E16" s="12">
        <f>IFERROR(VLOOKUP($A16, Dataset!$A:$X, 20, FALSE), "")</f>
        <v>106.1</v>
      </c>
      <c r="F16" s="8">
        <f>IFERROR(VLOOKUP($A16, Dataset!$A:$X, 22, FALSE), "")</f>
        <v>52.3</v>
      </c>
    </row>
    <row r="17" spans="1:6" ht="14.4" x14ac:dyDescent="0.3">
      <c r="A17" s="7" t="s">
        <v>22</v>
      </c>
      <c r="B17" s="12">
        <f>IFERROR(VLOOKUP($A17, Dataset!$A:$X, 7, FALSE), "")</f>
        <v>30.7</v>
      </c>
      <c r="C17" s="12">
        <f>IFERROR(VLOOKUP($A17, Dataset!$A:$X, 13, FALSE), "")</f>
        <v>62.5</v>
      </c>
      <c r="D17" s="12">
        <f>IFERROR(VLOOKUP($A17, Dataset!$A:$X, 17, FALSE), "")</f>
        <v>45.5</v>
      </c>
      <c r="E17" s="12">
        <f>IFERROR(VLOOKUP($A17, Dataset!$A:$X, 20, FALSE), "")</f>
        <v>115.1</v>
      </c>
      <c r="F17" s="8">
        <f>IFERROR(VLOOKUP($A17, Dataset!$A:$X, 22, FALSE), "")</f>
        <v>57</v>
      </c>
    </row>
    <row r="18" spans="1:6" ht="14.4" x14ac:dyDescent="0.3">
      <c r="A18" s="7" t="s">
        <v>23</v>
      </c>
      <c r="B18" s="12">
        <f>IFERROR(VLOOKUP($A18, Dataset!$A:$X, 7, FALSE), "")</f>
        <v>33.799999999999997</v>
      </c>
      <c r="C18" s="12">
        <f>IFERROR(VLOOKUP($A18, Dataset!$A:$X, 13, FALSE), "")</f>
        <v>67.900000000000006</v>
      </c>
      <c r="D18" s="12">
        <f>IFERROR(VLOOKUP($A18, Dataset!$A:$X, 17, FALSE), "")</f>
        <v>50.1</v>
      </c>
      <c r="E18" s="12">
        <f>IFERROR(VLOOKUP($A18, Dataset!$A:$X, 20, FALSE), "")</f>
        <v>124.4</v>
      </c>
      <c r="F18" s="8">
        <f>IFERROR(VLOOKUP($A18, Dataset!$A:$X, 22, FALSE), "")</f>
        <v>61.4</v>
      </c>
    </row>
    <row r="19" spans="1:6" ht="14.4" x14ac:dyDescent="0.3">
      <c r="A19" s="7" t="s">
        <v>24</v>
      </c>
      <c r="B19" s="12">
        <f>IFERROR(VLOOKUP($A19, Dataset!$A:$X, 7, FALSE), "")</f>
        <v>34.700000000000003</v>
      </c>
      <c r="C19" s="12">
        <f>IFERROR(VLOOKUP($A19, Dataset!$A:$X, 13, FALSE), "")</f>
        <v>70.8</v>
      </c>
      <c r="D19" s="12">
        <f>IFERROR(VLOOKUP($A19, Dataset!$A:$X, 17, FALSE), "")</f>
        <v>52.3</v>
      </c>
      <c r="E19" s="12">
        <f>IFERROR(VLOOKUP($A19, Dataset!$A:$X, 20, FALSE), "")</f>
        <v>128.6</v>
      </c>
      <c r="F19" s="8">
        <f>IFERROR(VLOOKUP($A19, Dataset!$A:$X, 22, FALSE), "")</f>
        <v>63.6</v>
      </c>
    </row>
    <row r="20" spans="1:6" ht="14.4" x14ac:dyDescent="0.3">
      <c r="A20" s="7" t="s">
        <v>28</v>
      </c>
      <c r="B20" s="12">
        <f>IFERROR(VLOOKUP($A20, Dataset!$A:$X, 7, FALSE), "")</f>
        <v>0</v>
      </c>
      <c r="C20" s="12">
        <f>IFERROR(VLOOKUP($A20, Dataset!$A:$X, 13, FALSE), "")</f>
        <v>0</v>
      </c>
      <c r="D20" s="12">
        <f>IFERROR(VLOOKUP($A20, Dataset!$A:$X, 17, FALSE), "")</f>
        <v>0</v>
      </c>
      <c r="E20" s="12">
        <f>IFERROR(VLOOKUP($A20, Dataset!$A:$X, 20, FALSE), "")</f>
        <v>0</v>
      </c>
      <c r="F20" s="8">
        <f>IFERROR(VLOOKUP($A20, Dataset!$A:$X, 22, FALSE), "")</f>
        <v>0</v>
      </c>
    </row>
    <row r="21" spans="1:6" ht="14.4" x14ac:dyDescent="0.3">
      <c r="A21" s="7" t="s">
        <v>57</v>
      </c>
      <c r="B21" s="12">
        <f>IFERROR(VLOOKUP($A21, Dataset!$A:$X, 7, FALSE), "")</f>
        <v>41.3</v>
      </c>
      <c r="C21" s="12">
        <f>IFERROR(VLOOKUP($A21, Dataset!$A:$X, 13, FALSE), "")</f>
        <v>83.5</v>
      </c>
      <c r="D21" s="12">
        <f>IFERROR(VLOOKUP($A21, Dataset!$A:$X, 17, FALSE), "")</f>
        <v>61.4</v>
      </c>
      <c r="E21" s="12">
        <f>IFERROR(VLOOKUP($A21, Dataset!$A:$X, 20, FALSE), "")</f>
        <v>151.5</v>
      </c>
      <c r="F21" s="8">
        <f>IFERROR(VLOOKUP($A21, Dataset!$A:$X, 22, FALSE), "")</f>
        <v>75</v>
      </c>
    </row>
    <row r="22" spans="1:6" ht="14.4" x14ac:dyDescent="0.3">
      <c r="A22" s="7" t="s">
        <v>58</v>
      </c>
      <c r="B22" s="12">
        <f>IFERROR(VLOOKUP($A22, Dataset!$A:$X, 7, FALSE), "")</f>
        <v>-1</v>
      </c>
      <c r="C22" s="12">
        <f>IFERROR(VLOOKUP($A22, Dataset!$A:$X, 13, FALSE), "")</f>
        <v>-1</v>
      </c>
      <c r="D22" s="12">
        <f>IFERROR(VLOOKUP($A22, Dataset!$A:$X, 17, FALSE), "")</f>
        <v>-1</v>
      </c>
      <c r="E22" s="12">
        <f>IFERROR(VLOOKUP($A22, Dataset!$A:$X, 20, FALSE), "")</f>
        <v>-1</v>
      </c>
      <c r="F22" s="8">
        <f>IFERROR(VLOOKUP($A22, Dataset!$A:$X, 22, FALSE), "")</f>
        <v>-1</v>
      </c>
    </row>
    <row r="23" spans="1:6" ht="14.4" x14ac:dyDescent="0.3">
      <c r="A23" s="7" t="s">
        <v>31</v>
      </c>
      <c r="B23" s="12">
        <f>IFERROR(VLOOKUP($A23, Dataset!$A:$X, 7, FALSE), "")</f>
        <v>45</v>
      </c>
      <c r="C23" s="12">
        <f>IFERROR(VLOOKUP($A23, Dataset!$A:$X, 13, FALSE), "")</f>
        <v>90.9</v>
      </c>
      <c r="D23" s="12">
        <f>IFERROR(VLOOKUP($A23, Dataset!$A:$X, 17, FALSE), "")</f>
        <v>65.900000000000006</v>
      </c>
      <c r="E23" s="12">
        <f>IFERROR(VLOOKUP($A23, Dataset!$A:$X, 20, FALSE), "")</f>
        <v>160.9</v>
      </c>
      <c r="F23" s="8">
        <f>IFERROR(VLOOKUP($A23, Dataset!$A:$X, 22, FALSE), "")</f>
        <v>79.400000000000006</v>
      </c>
    </row>
    <row r="24" spans="1:6" ht="14.4" x14ac:dyDescent="0.3">
      <c r="A24" s="7" t="s">
        <v>32</v>
      </c>
      <c r="B24" s="12">
        <f>IFERROR(VLOOKUP($A24, Dataset!$A:$X, 7, FALSE), "")</f>
        <v>-1</v>
      </c>
      <c r="C24" s="12">
        <f>IFERROR(VLOOKUP($A24, Dataset!$A:$X, 13, FALSE), "")</f>
        <v>-1</v>
      </c>
      <c r="D24" s="12">
        <f>IFERROR(VLOOKUP($A24, Dataset!$A:$X, 17, FALSE), "")</f>
        <v>-1</v>
      </c>
      <c r="E24" s="12">
        <f>IFERROR(VLOOKUP($A24, Dataset!$A:$X, 20, FALSE), "")</f>
        <v>-1</v>
      </c>
      <c r="F24" s="8">
        <f>IFERROR(VLOOKUP($A24, Dataset!$A:$X, 22, FALSE), "")</f>
        <v>-1</v>
      </c>
    </row>
    <row r="25" spans="1:6" ht="14.4" x14ac:dyDescent="0.3">
      <c r="A25" s="7" t="s">
        <v>34</v>
      </c>
      <c r="B25" s="12">
        <f>IFERROR(VLOOKUP($A25, Dataset!$A:$X, 7, FALSE), "")</f>
        <v>43.3</v>
      </c>
      <c r="C25" s="12">
        <f>IFERROR(VLOOKUP($A25, Dataset!$A:$X, 13, FALSE), "")</f>
        <v>87.6</v>
      </c>
      <c r="D25" s="12">
        <f>IFERROR(VLOOKUP($A25, Dataset!$A:$X, 17, FALSE), "")</f>
        <v>63.6</v>
      </c>
      <c r="E25" s="12">
        <f>IFERROR(VLOOKUP($A25, Dataset!$A:$X, 20, FALSE), "")</f>
        <v>160.9</v>
      </c>
      <c r="F25" s="8">
        <f>IFERROR(VLOOKUP($A25, Dataset!$A:$X, 22, FALSE), "")</f>
        <v>79.400000000000006</v>
      </c>
    </row>
    <row r="26" spans="1:6" ht="14.4" x14ac:dyDescent="0.3">
      <c r="A26" s="7" t="s">
        <v>37</v>
      </c>
      <c r="B26" s="12">
        <f>IFERROR(VLOOKUP($A26, Dataset!$A:$X, 7, FALSE), "")</f>
        <v>49.1</v>
      </c>
      <c r="C26" s="12">
        <f>IFERROR(VLOOKUP($A26, Dataset!$A:$X, 13, FALSE), "")</f>
        <v>99.5</v>
      </c>
      <c r="D26" s="12">
        <f>IFERROR(VLOOKUP($A26, Dataset!$A:$X, 17, FALSE), "")</f>
        <v>72.8</v>
      </c>
      <c r="E26" s="12">
        <f>IFERROR(VLOOKUP($A26, Dataset!$A:$X, 20, FALSE), "")</f>
        <v>183.5</v>
      </c>
      <c r="F26" s="8">
        <f>IFERROR(VLOOKUP($A26, Dataset!$A:$X, 22, FALSE), "")</f>
        <v>90.9</v>
      </c>
    </row>
    <row r="27" spans="1:6" ht="14.4" x14ac:dyDescent="0.3">
      <c r="A27" s="7" t="s">
        <v>39</v>
      </c>
      <c r="B27" s="12">
        <f>IFERROR(VLOOKUP($A27, Dataset!$A:$X, 7, FALSE), "")</f>
        <v>51.8</v>
      </c>
      <c r="C27" s="12">
        <f>IFERROR(VLOOKUP($A27, Dataset!$A:$X, 13, FALSE), "")</f>
        <v>104.5</v>
      </c>
      <c r="D27" s="12">
        <f>IFERROR(VLOOKUP($A27, Dataset!$A:$X, 17, FALSE), "")</f>
        <v>77.2</v>
      </c>
      <c r="E27" s="12">
        <f>IFERROR(VLOOKUP($A27, Dataset!$A:$X, 20, FALSE), "")</f>
        <v>188.1</v>
      </c>
      <c r="F27" s="8">
        <f>IFERROR(VLOOKUP($A27, Dataset!$A:$X, 22, FALSE), "")</f>
        <v>93.1</v>
      </c>
    </row>
    <row r="28" spans="1:6" ht="14.4" x14ac:dyDescent="0.3">
      <c r="A28" s="19" t="s">
        <v>82</v>
      </c>
      <c r="B28" s="31">
        <f>MIN(B6:B27)</f>
        <v>-1</v>
      </c>
      <c r="C28" s="31">
        <f>MIN(C6:C27)</f>
        <v>-1</v>
      </c>
      <c r="D28" s="31">
        <f>MIN(D6:D27)</f>
        <v>-1</v>
      </c>
      <c r="E28" s="31">
        <f>MIN(E6:E27)</f>
        <v>-1</v>
      </c>
      <c r="F28" s="31">
        <f>MIN(F6:F27)</f>
        <v>-1</v>
      </c>
    </row>
    <row r="29" spans="1:6" ht="14.4" x14ac:dyDescent="0.3">
      <c r="A29" s="19" t="s">
        <v>83</v>
      </c>
      <c r="B29" s="31">
        <f>MAX(B6:B27)</f>
        <v>51.8</v>
      </c>
      <c r="C29" s="31">
        <f>MAX(C6:C27)</f>
        <v>104.5</v>
      </c>
      <c r="D29" s="31">
        <f>MAX(D6:D27)</f>
        <v>77.2</v>
      </c>
      <c r="E29" s="31">
        <f>MAX(E6:E27)</f>
        <v>188.1</v>
      </c>
      <c r="F29" s="31">
        <f>MAX(F6:F27)</f>
        <v>93.1</v>
      </c>
    </row>
    <row r="30" spans="1:6" ht="14.4" x14ac:dyDescent="0.3">
      <c r="A30" s="19" t="s">
        <v>84</v>
      </c>
      <c r="B30" s="31">
        <f>AVERAGE(B6:B27)</f>
        <v>20.827272727272728</v>
      </c>
      <c r="C30" s="31">
        <f>AVERAGE(C6:C27)</f>
        <v>42.209090909090904</v>
      </c>
      <c r="D30" s="31">
        <f>AVERAGE(D6:D27)</f>
        <v>30.831818181818186</v>
      </c>
      <c r="E30" s="31">
        <f>AVERAGE(E6:E27)</f>
        <v>76.418181818181822</v>
      </c>
      <c r="F30" s="31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C8" sqref="C8"/>
    </sheetView>
  </sheetViews>
  <sheetFormatPr defaultColWidth="11" defaultRowHeight="14.4" x14ac:dyDescent="0.3"/>
  <cols>
    <col min="1" max="1" width="39.77734375" style="1" bestFit="1" customWidth="1"/>
    <col min="2" max="2" width="33.109375" style="1" customWidth="1"/>
    <col min="3" max="3" width="17.109375" style="1" customWidth="1"/>
    <col min="4" max="16384" width="11" style="1"/>
  </cols>
  <sheetData>
    <row r="1" spans="1:10" s="40" customFormat="1" ht="21" x14ac:dyDescent="0.4">
      <c r="A1" s="41" t="s">
        <v>56</v>
      </c>
      <c r="B1" s="40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2" t="s">
        <v>53</v>
      </c>
      <c r="B5" s="48" t="s">
        <v>178</v>
      </c>
      <c r="C5" s="1" t="s">
        <v>179</v>
      </c>
    </row>
    <row r="6" spans="1:10" ht="31.8" customHeight="1" x14ac:dyDescent="0.35">
      <c r="A6" s="42" t="s">
        <v>153</v>
      </c>
      <c r="B6" s="49" t="s">
        <v>180</v>
      </c>
      <c r="C6" s="53" t="s">
        <v>181</v>
      </c>
      <c r="D6" s="53"/>
      <c r="E6" s="53"/>
      <c r="F6" s="53"/>
      <c r="G6" s="53"/>
      <c r="H6" s="53"/>
      <c r="I6" s="53"/>
      <c r="J6" s="53"/>
    </row>
    <row r="7" spans="1:10" ht="18" x14ac:dyDescent="0.35">
      <c r="A7" s="42"/>
      <c r="B7" s="39"/>
    </row>
    <row r="9" spans="1:10" ht="23.4" x14ac:dyDescent="0.45">
      <c r="A9" s="18" t="s">
        <v>165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162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  <c r="H16" s="47"/>
    </row>
    <row r="17" spans="1:8" x14ac:dyDescent="0.3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  <c r="H17" s="47"/>
    </row>
    <row r="18" spans="1:8" x14ac:dyDescent="0.3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  <c r="H18" s="47"/>
    </row>
    <row r="19" spans="1:8" x14ac:dyDescent="0.3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  <c r="H19" s="47"/>
    </row>
    <row r="20" spans="1:8" x14ac:dyDescent="0.3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  <c r="H20" s="47"/>
    </row>
    <row r="21" spans="1:8" x14ac:dyDescent="0.3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8" x14ac:dyDescent="0.3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8" x14ac:dyDescent="0.3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8" x14ac:dyDescent="0.3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8" x14ac:dyDescent="0.3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8" x14ac:dyDescent="0.3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8" x14ac:dyDescent="0.3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8" x14ac:dyDescent="0.3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8" x14ac:dyDescent="0.3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8" x14ac:dyDescent="0.3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8" x14ac:dyDescent="0.3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8" x14ac:dyDescent="0.3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mergeCells count="1">
    <mergeCell ref="C6:J6"/>
  </mergeCells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J22"/>
  <sheetViews>
    <sheetView zoomScaleNormal="100" workbookViewId="0">
      <selection activeCell="D22" sqref="D22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10" ht="21" x14ac:dyDescent="0.4">
      <c r="A1" s="41" t="s">
        <v>85</v>
      </c>
      <c r="B1" s="40" t="s">
        <v>167</v>
      </c>
    </row>
    <row r="2" spans="1:10" ht="18" x14ac:dyDescent="0.35">
      <c r="B2" s="39" t="s">
        <v>166</v>
      </c>
    </row>
    <row r="5" spans="1:10" ht="14.4" x14ac:dyDescent="0.3">
      <c r="B5" s="1" t="s">
        <v>151</v>
      </c>
    </row>
    <row r="6" spans="1:10" ht="14.4" x14ac:dyDescent="0.3">
      <c r="A6" s="3" t="s">
        <v>53</v>
      </c>
      <c r="B6" s="1" t="s">
        <v>182</v>
      </c>
    </row>
    <row r="7" spans="1:10" ht="15" x14ac:dyDescent="0.35">
      <c r="A7" s="3" t="s">
        <v>153</v>
      </c>
      <c r="B7" s="52" t="s">
        <v>185</v>
      </c>
      <c r="C7" s="52"/>
      <c r="D7" s="52"/>
      <c r="E7" s="52"/>
      <c r="F7" s="52"/>
      <c r="G7" s="52"/>
      <c r="H7" s="52"/>
      <c r="I7" s="52"/>
      <c r="J7" s="52"/>
    </row>
    <row r="10" spans="1:10" ht="23.4" x14ac:dyDescent="0.45">
      <c r="A10" s="18" t="s">
        <v>162</v>
      </c>
    </row>
    <row r="11" spans="1:10" ht="14.4" x14ac:dyDescent="0.3">
      <c r="A11" s="32" t="s">
        <v>86</v>
      </c>
      <c r="B11" s="17" t="s">
        <v>87</v>
      </c>
      <c r="C11" s="17" t="s">
        <v>88</v>
      </c>
    </row>
    <row r="12" spans="1:10" ht="14.4" x14ac:dyDescent="0.3">
      <c r="A12" s="32">
        <v>44927</v>
      </c>
      <c r="B12" s="17" t="s">
        <v>59</v>
      </c>
      <c r="C12" s="17">
        <v>200</v>
      </c>
    </row>
    <row r="13" spans="1:10" ht="14.4" x14ac:dyDescent="0.3">
      <c r="A13" s="32">
        <v>44928</v>
      </c>
      <c r="B13" s="17" t="s">
        <v>60</v>
      </c>
      <c r="C13" s="17" t="e">
        <v>#N/A</v>
      </c>
    </row>
    <row r="14" spans="1:10" ht="14.4" x14ac:dyDescent="0.3">
      <c r="A14" s="32">
        <v>44929</v>
      </c>
      <c r="B14" s="17" t="s">
        <v>61</v>
      </c>
      <c r="C14" s="17">
        <v>50</v>
      </c>
    </row>
    <row r="15" spans="1:10" ht="14.4" x14ac:dyDescent="0.3">
      <c r="A15" s="32">
        <v>44930</v>
      </c>
      <c r="B15" s="17" t="s">
        <v>62</v>
      </c>
      <c r="C15" s="17" t="e">
        <v>#N/A</v>
      </c>
    </row>
    <row r="16" spans="1:10" ht="14.4" x14ac:dyDescent="0.3">
      <c r="A16" s="32">
        <v>44931</v>
      </c>
      <c r="B16" s="17" t="s">
        <v>63</v>
      </c>
      <c r="C16" s="17">
        <v>10</v>
      </c>
    </row>
    <row r="17" spans="1:3" ht="14.4" x14ac:dyDescent="0.3">
      <c r="A17" s="32">
        <v>44932</v>
      </c>
      <c r="B17" s="17" t="s">
        <v>154</v>
      </c>
      <c r="C17" s="17">
        <v>150</v>
      </c>
    </row>
    <row r="18" spans="1:3" ht="14.4" x14ac:dyDescent="0.3">
      <c r="A18" s="32">
        <v>44933</v>
      </c>
      <c r="B18" s="17" t="s">
        <v>155</v>
      </c>
      <c r="C18" s="17">
        <v>80</v>
      </c>
    </row>
    <row r="19" spans="1:3" ht="14.4" x14ac:dyDescent="0.3">
      <c r="A19" s="32">
        <v>44934</v>
      </c>
      <c r="B19" s="17" t="s">
        <v>156</v>
      </c>
      <c r="C19" s="17" t="e">
        <v>#N/A</v>
      </c>
    </row>
    <row r="20" spans="1:3" ht="14.4" x14ac:dyDescent="0.3">
      <c r="A20" s="32">
        <v>44935</v>
      </c>
      <c r="B20" s="17" t="s">
        <v>157</v>
      </c>
      <c r="C20" s="17">
        <v>30</v>
      </c>
    </row>
    <row r="21" spans="1:3" ht="14.4" x14ac:dyDescent="0.3">
      <c r="A21" s="32">
        <v>44936</v>
      </c>
      <c r="B21" s="17" t="s">
        <v>158</v>
      </c>
      <c r="C21" s="17" t="e">
        <v>#N/A</v>
      </c>
    </row>
    <row r="22" spans="1:3" ht="14.4" x14ac:dyDescent="0.3">
      <c r="B22" s="17" t="s">
        <v>159</v>
      </c>
      <c r="C22" s="25">
        <f t="array" ref="C22">SUM(IFERROR(C12:C21, 20))</f>
        <v>600</v>
      </c>
    </row>
  </sheetData>
  <mergeCells count="1">
    <mergeCell ref="B7:J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O35"/>
  <sheetViews>
    <sheetView topLeftCell="A8" zoomScale="73" zoomScaleNormal="100" workbookViewId="0">
      <selection activeCell="C36" sqref="C36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5" ht="21" x14ac:dyDescent="0.4">
      <c r="A1" s="41" t="s">
        <v>98</v>
      </c>
      <c r="B1" s="40" t="s">
        <v>175</v>
      </c>
    </row>
    <row r="3" spans="1:15" ht="14.4" x14ac:dyDescent="0.3">
      <c r="B3" s="1" t="s">
        <v>151</v>
      </c>
    </row>
    <row r="4" spans="1:15" ht="18" x14ac:dyDescent="0.35">
      <c r="A4" s="42" t="s">
        <v>53</v>
      </c>
      <c r="B4" s="50" t="s">
        <v>183</v>
      </c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50"/>
    </row>
    <row r="5" spans="1:15" ht="18" x14ac:dyDescent="0.35">
      <c r="A5" s="42" t="s">
        <v>153</v>
      </c>
      <c r="B5" s="51" t="s">
        <v>184</v>
      </c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</row>
    <row r="6" spans="1:15" ht="14.4" x14ac:dyDescent="0.3">
      <c r="A6" s="3"/>
      <c r="B6" s="51"/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</row>
    <row r="8" spans="1:15" ht="23.4" x14ac:dyDescent="0.45">
      <c r="A8" s="18" t="s">
        <v>162</v>
      </c>
      <c r="M8" s="18" t="s">
        <v>163</v>
      </c>
    </row>
    <row r="9" spans="1:15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5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5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5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5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5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5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5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168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3">
        <v>95</v>
      </c>
    </row>
    <row r="24" spans="1:14" ht="14.4" x14ac:dyDescent="0.3">
      <c r="A24" s="7">
        <v>10100</v>
      </c>
      <c r="B24" s="12">
        <v>10104</v>
      </c>
      <c r="C24" s="43">
        <v>180</v>
      </c>
    </row>
    <row r="25" spans="1:14" ht="14.4" x14ac:dyDescent="0.3">
      <c r="A25" s="7">
        <v>10108</v>
      </c>
      <c r="B25" s="12">
        <v>10102</v>
      </c>
      <c r="C25" s="43">
        <v>160</v>
      </c>
    </row>
    <row r="26" spans="1:14" ht="14.4" x14ac:dyDescent="0.3">
      <c r="A26" s="7">
        <v>10100</v>
      </c>
      <c r="B26" s="12">
        <v>10106</v>
      </c>
      <c r="C26" s="43">
        <v>185</v>
      </c>
    </row>
    <row r="27" spans="1:14" ht="14.4" x14ac:dyDescent="0.3">
      <c r="A27" s="7">
        <v>10108</v>
      </c>
      <c r="B27" s="12">
        <v>10110</v>
      </c>
      <c r="C27" s="43">
        <v>50</v>
      </c>
    </row>
    <row r="28" spans="1:14" ht="14.4" x14ac:dyDescent="0.3">
      <c r="A28" s="7">
        <v>10102</v>
      </c>
      <c r="B28" s="12">
        <v>10104</v>
      </c>
      <c r="C28" s="43">
        <v>-1</v>
      </c>
    </row>
    <row r="29" spans="1:14" ht="14.4" x14ac:dyDescent="0.3">
      <c r="A29" s="7">
        <v>10106</v>
      </c>
      <c r="B29" s="12">
        <v>10108</v>
      </c>
      <c r="C29" s="43">
        <v>70</v>
      </c>
    </row>
    <row r="30" spans="1:14" ht="14.4" x14ac:dyDescent="0.3">
      <c r="A30" s="7">
        <v>10102</v>
      </c>
      <c r="B30" s="12">
        <v>10106</v>
      </c>
      <c r="C30" s="43">
        <v>90</v>
      </c>
    </row>
    <row r="31" spans="1:14" ht="14.4" x14ac:dyDescent="0.3">
      <c r="A31" s="7">
        <v>10110</v>
      </c>
      <c r="B31" s="12">
        <v>10114</v>
      </c>
      <c r="C31" s="43">
        <v>180</v>
      </c>
    </row>
    <row r="32" spans="1:14" ht="14.4" x14ac:dyDescent="0.3">
      <c r="A32" s="7">
        <v>10104</v>
      </c>
      <c r="B32" s="12">
        <v>10106</v>
      </c>
      <c r="C32" s="43">
        <v>60</v>
      </c>
    </row>
    <row r="33" spans="1:3" ht="14.4" x14ac:dyDescent="0.3">
      <c r="A33" s="7">
        <v>10110</v>
      </c>
      <c r="B33" s="12">
        <v>10112</v>
      </c>
      <c r="C33" s="43">
        <v>115</v>
      </c>
    </row>
    <row r="34" spans="1:3" ht="14.4" x14ac:dyDescent="0.3">
      <c r="A34" s="7">
        <v>10100</v>
      </c>
      <c r="B34" s="12">
        <v>10114</v>
      </c>
      <c r="C34" s="43">
        <v>480</v>
      </c>
    </row>
    <row r="35" spans="1:3" ht="14.4" x14ac:dyDescent="0.3">
      <c r="A35" s="9">
        <v>10112</v>
      </c>
      <c r="B35" s="13">
        <v>10116</v>
      </c>
      <c r="C35" s="44">
        <v>105</v>
      </c>
    </row>
  </sheetData>
  <mergeCells count="2">
    <mergeCell ref="B4:O4"/>
    <mergeCell ref="B5:M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balaganesh simhadri</cp:lastModifiedBy>
  <dcterms:created xsi:type="dcterms:W3CDTF">2015-02-10T17:33:11Z</dcterms:created>
  <dcterms:modified xsi:type="dcterms:W3CDTF">2023-12-10T18:14:17Z</dcterms:modified>
</cp:coreProperties>
</file>